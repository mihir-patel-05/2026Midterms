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meline" sheetId="1" state="visible" r:id="rId3"/>
    <sheet name="Data Sourc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<sst xmlns="http://schemas.openxmlformats.org/spreadsheetml/2006/main" count="345" uniqueCount="232">
  <si>
    <t xml:space="preserve">VoteInformed Intel v2 — Compressed Delivery Timeline</t>
  </si>
  <si>
    <t xml:space="preserve">Election Day</t>
  </si>
  <si>
    <t xml:space="preserve">Legend: yellow cells are editable (dates, Status). Planned dates follow the original INTEL_V2_PLAN.md §5; target dates are the compressed schedule.</t>
  </si>
  <si>
    <t xml:space="preserve">As of</t>
  </si>
  <si>
    <t xml:space="preserve">Source: docs/product/INTEL_V2_PLAN.md (Oct 1, 2026). Status reflects branch 2026Midterm_intel_v2 as of the 'As of' date.</t>
  </si>
  <si>
    <t xml:space="preserve">Code freeze</t>
  </si>
  <si>
    <t xml:space="preserve">Phase</t>
  </si>
  <si>
    <t xml:space="preserve">Milestone</t>
  </si>
  <si>
    <t xml:space="preserve">Plan ref</t>
  </si>
  <si>
    <t xml:space="preserve">Original window</t>
  </si>
  <si>
    <t xml:space="preserve">Target start</t>
  </si>
  <si>
    <t xml:space="preserve">Target end</t>
  </si>
  <si>
    <t xml:space="preserve">Duration (days)</t>
  </si>
  <si>
    <t xml:space="preserve">Days before Election Day</t>
  </si>
  <si>
    <t xml:space="preserve">Before freeze?</t>
  </si>
  <si>
    <t xml:space="preserve">Status</t>
  </si>
  <si>
    <t xml:space="preserve">Depends on</t>
  </si>
  <si>
    <t xml:space="preserve">Notes</t>
  </si>
  <si>
    <t xml:space="preserve">1 · Foundation</t>
  </si>
  <si>
    <t xml:space="preserve">Hourly Kalshi/Polymarket snapshot cron</t>
  </si>
  <si>
    <t xml:space="preserve">§3.2</t>
  </si>
  <si>
    <t xml:space="preserve">Oct 1–7</t>
  </si>
  <si>
    <t xml:space="preserve">Not started</t>
  </si>
  <si>
    <t xml:space="preserve">market_snapshots table (done)</t>
  </si>
  <si>
    <t xml:space="preserve">Start first: history can't be backfilled.</t>
  </si>
  <si>
    <t xml:space="preserve">FRED economic indicators ingestion</t>
  </si>
  <si>
    <t xml:space="preserve">§3.4</t>
  </si>
  <si>
    <t xml:space="preserve">indicator_series tables (done)</t>
  </si>
  <si>
    <t xml:space="preserve">Yields, curve, S&amp;P 500, VIX, gas, CPI, unemployment.</t>
  </si>
  <si>
    <t xml:space="preserve">Agent foundation (AgentRun logging, Zod schemas, model routing)</t>
  </si>
  <si>
    <t xml:space="preserve">§4.5</t>
  </si>
  <si>
    <t xml:space="preserve">agent_runs table (done)</t>
  </si>
  <si>
    <t xml:space="preserve">Prompt + schema + DB write; no framework.</t>
  </si>
  <si>
    <t xml:space="preserve">Article / ArticleTag tables + Agent 1 news triage running</t>
  </si>
  <si>
    <t xml:space="preserve">§4.2 #1</t>
  </si>
  <si>
    <t xml:space="preserve">Oct 8–14</t>
  </si>
  <si>
    <t xml:space="preserve">Agent foundation</t>
  </si>
  <si>
    <t xml:space="preserve">Pulled forward so Agent 2 has 30 days of articles by Nov 3.</t>
  </si>
  <si>
    <t xml:space="preserve">District race pages (static data, ACS demographics)</t>
  </si>
  <si>
    <t xml:space="preserve">§3.1</t>
  </si>
  <si>
    <t xml:space="preserve">district_profiles table (done), Census ACS</t>
  </si>
  <si>
    <t xml:space="preserve">2 · First agents &amp; index</t>
  </si>
  <si>
    <t xml:space="preserve">Win probability index + methodology page</t>
  </si>
  <si>
    <t xml:space="preserve">§3.3</t>
  </si>
  <si>
    <t xml:space="preserve">Snapshots, polls, fundamentals</t>
  </si>
  <si>
    <t xml:space="preserve">Computed in code, not by AI.</t>
  </si>
  <si>
    <t xml:space="preserve">Agent 3 — Why it moved</t>
  </si>
  <si>
    <t xml:space="preserve">§4.2 #3</t>
  </si>
  <si>
    <t xml:space="preserve">Snapshots, Agent 1, RaceSignalEvent</t>
  </si>
  <si>
    <t xml:space="preserve">Event-driven; returns 'no clear cause found' when unsure.</t>
  </si>
  <si>
    <t xml:space="preserve">Agent 5 — Daily brief</t>
  </si>
  <si>
    <t xml:space="preserve">§4.2 #5</t>
  </si>
  <si>
    <t xml:space="preserve">Agents 1, 3, 4</t>
  </si>
  <si>
    <t xml:space="preserve">3 · Analysis layer</t>
  </si>
  <si>
    <t xml:space="preserve">Biggest movers feed</t>
  </si>
  <si>
    <t xml:space="preserve">§3.5</t>
  </si>
  <si>
    <t xml:space="preserve">Oct 15–24</t>
  </si>
  <si>
    <t xml:space="preserve">Snapshot history, Agent 3</t>
  </si>
  <si>
    <t xml:space="preserve">Agent 2 — District issues</t>
  </si>
  <si>
    <t xml:space="preserve">§4.2 #2</t>
  </si>
  <si>
    <t xml:space="preserve">Agent 1 (30 days of tags)</t>
  </si>
  <si>
    <t xml:space="preserve">Agent 4 — Signal divergence</t>
  </si>
  <si>
    <t xml:space="preserve">§4.2 #4</t>
  </si>
  <si>
    <t xml:space="preserve">Index inputs</t>
  </si>
  <si>
    <t xml:space="preserve">Agent 8 — Ask the race (grounded chat)</t>
  </si>
  <si>
    <t xml:space="preserve">§4.2 #8</t>
  </si>
  <si>
    <t xml:space="preserve">Stored data + articles</t>
  </si>
  <si>
    <t xml:space="preserve">Answers only from stored data, with citations.</t>
  </si>
  <si>
    <t xml:space="preserve">Early vote tracker</t>
  </si>
  <si>
    <t xml:space="preserve">§3.8</t>
  </si>
  <si>
    <t xml:space="preserve">State early-vote data</t>
  </si>
  <si>
    <t xml:space="preserve">Only states that publish by party.</t>
  </si>
  <si>
    <t xml:space="preserve">Tipping-point races (Monte Carlo)</t>
  </si>
  <si>
    <t xml:space="preserve">§3.7</t>
  </si>
  <si>
    <t xml:space="preserve">Win probability index</t>
  </si>
  <si>
    <t xml:space="preserve">4 · Election night</t>
  </si>
  <si>
    <t xml:space="preserve">Decide results feed (AP / DDHQ / state SoS)</t>
  </si>
  <si>
    <t xml:space="preserve">§3.6</t>
  </si>
  <si>
    <t xml:space="preserve">Oct 25–Nov 3</t>
  </si>
  <si>
    <t xml:space="preserve">—</t>
  </si>
  <si>
    <t xml:space="preserve">Decide now: contract procurement may outlast the window.</t>
  </si>
  <si>
    <t xml:space="preserve">Freeze + load testing</t>
  </si>
  <si>
    <t xml:space="preserve">Phases 1–3 complete</t>
  </si>
  <si>
    <t xml:space="preserve">Agent 7 — Data QA</t>
  </si>
  <si>
    <t xml:space="preserve">§4.2 #7</t>
  </si>
  <si>
    <t xml:space="preserve">Ingestion jobs</t>
  </si>
  <si>
    <t xml:space="preserve">Election night live mode</t>
  </si>
  <si>
    <t xml:space="preserve">Results feed contract, load test</t>
  </si>
  <si>
    <t xml:space="preserve">Agent 9 — Election night notes</t>
  </si>
  <si>
    <t xml:space="preserve">§4.2 #9</t>
  </si>
  <si>
    <t xml:space="preserve">Live mode</t>
  </si>
  <si>
    <t xml:space="preserve">5 · After election</t>
  </si>
  <si>
    <t xml:space="preserve">Agent 6 — Candidate positions (human review)</t>
  </si>
  <si>
    <t xml:space="preserve">§4.2 #6</t>
  </si>
  <si>
    <t xml:space="preserve">After Nov 3</t>
  </si>
  <si>
    <t xml:space="preserve">Deferred</t>
  </si>
  <si>
    <t xml:space="preserve">Admin review queue</t>
  </si>
  <si>
    <t xml:space="preserve">Don't pull forward.</t>
  </si>
  <si>
    <t xml:space="preserve">Polarization + democratic institutions indexes</t>
  </si>
  <si>
    <t xml:space="preserve">§4.4</t>
  </si>
  <si>
    <t xml:space="preserve">Published methodology</t>
  </si>
  <si>
    <t xml:space="preserve">Don't rush before the election.</t>
  </si>
  <si>
    <t xml:space="preserve">Phase 2 — Elections Monitor (2027 gov, 2028 primaries, global calendar)</t>
  </si>
  <si>
    <t xml:space="preserve">§6</t>
  </si>
  <si>
    <t xml:space="preserve">Summary</t>
  </si>
  <si>
    <t xml:space="preserve">Done</t>
  </si>
  <si>
    <t xml:space="preserve">In progress</t>
  </si>
  <si>
    <t xml:space="preserve">Blocked</t>
  </si>
  <si>
    <t xml:space="preserve">Total milestones</t>
  </si>
  <si>
    <t xml:space="preserve">% done</t>
  </si>
  <si>
    <t xml:space="preserve">Data Sources &amp; API Access Needed</t>
  </si>
  <si>
    <t xml:space="preserve">Legend: yellow cells are editable (Key obtained?, Owner). 'In codebase' = already wired in backend/src. Cost/terms should be confirmed with each provider before signup.</t>
  </si>
  <si>
    <t xml:space="preserve">#</t>
  </si>
  <si>
    <t xml:space="preserve">Source</t>
  </si>
  <si>
    <t xml:space="preserve">Data provided</t>
  </si>
  <si>
    <t xml:space="preserve">Used for</t>
  </si>
  <si>
    <t xml:space="preserve">Phase needed</t>
  </si>
  <si>
    <t xml:space="preserve">Needed by</t>
  </si>
  <si>
    <t xml:space="preserve">Access / endpoint</t>
  </si>
  <si>
    <t xml:space="preserve">Auth</t>
  </si>
  <si>
    <t xml:space="preserve">Cost (verify)</t>
  </si>
  <si>
    <t xml:space="preserve">In codebase?</t>
  </si>
  <si>
    <t xml:space="preserve">Key obtained?</t>
  </si>
  <si>
    <t xml:space="preserve">Owner</t>
  </si>
  <si>
    <t xml:space="preserve">Kalshi</t>
  </si>
  <si>
    <t xml:space="preserve">Election market prices, volume, liquidity</t>
  </si>
  <si>
    <t xml:space="preserve">§3.2 snapshots, index, movers, Agent 3/4</t>
  </si>
  <si>
    <t xml:space="preserve">1</t>
  </si>
  <si>
    <t xml:space="preserve">external-api.kalshi.com/trade-api/v2</t>
  </si>
  <si>
    <t xml:space="preserve">None for public market data</t>
  </si>
  <si>
    <t xml:space="preserve">Free</t>
  </si>
  <si>
    <t xml:space="preserve">Yes</t>
  </si>
  <si>
    <t xml:space="preserve">Already powering live quotes; add hourly storage.</t>
  </si>
  <si>
    <t xml:space="preserve">Polymarket (Gamma API)</t>
  </si>
  <si>
    <t xml:space="preserve">Election market prices, volume</t>
  </si>
  <si>
    <t xml:space="preserve">§3.2 snapshots, index, movers</t>
  </si>
  <si>
    <t xml:space="preserve">gamma-api.polymarket.com</t>
  </si>
  <si>
    <t xml:space="preserve">None for public reads</t>
  </si>
  <si>
    <t xml:space="preserve">FEC OpenFEC</t>
  </si>
  <si>
    <t xml:space="preserve">Receipts, cash on hand, committees; Schedule E outside spending</t>
  </si>
  <si>
    <t xml:space="preserve">Race pages, index money ratio, Agent 3 triggers, issue #31</t>
  </si>
  <si>
    <t xml:space="preserve">api.open.fec.gov/v1</t>
  </si>
  <si>
    <t xml:space="preserve">api.data.gov key</t>
  </si>
  <si>
    <t xml:space="preserve">Free (rate-limited)</t>
  </si>
  <si>
    <t xml:space="preserve">Schedule E uses the same key.</t>
  </si>
  <si>
    <t xml:space="preserve">FRED (St. Louis Fed)</t>
  </si>
  <si>
    <t xml:space="preserve">10Y/2Y yields, yield curve, S&amp;P 500, VIX, gas prices, CPI, unemployment</t>
  </si>
  <si>
    <t xml:space="preserve">§3.4 economic indicators</t>
  </si>
  <si>
    <t xml:space="preserve">api.stlouisfed.org/fred</t>
  </si>
  <si>
    <t xml:space="preserve">Free API key</t>
  </si>
  <si>
    <t xml:space="preserve">No</t>
  </si>
  <si>
    <t xml:space="preserve">FRED carries SP500, VIXCLS, GASREGW, so a separate market-data API may not be needed.</t>
  </si>
  <si>
    <t xml:space="preserve">U.S. Census ACS</t>
  </si>
  <si>
    <t xml:space="preserve">District demographics (income, education, race, age)</t>
  </si>
  <si>
    <t xml:space="preserve">§3.1 race pages, district_profiles</t>
  </si>
  <si>
    <t xml:space="preserve">api.census.gov/data (ACS 5-year)</t>
  </si>
  <si>
    <t xml:space="preserve">2024 presidential results by district</t>
  </si>
  <si>
    <t xml:space="preserve">Presidential margin / partisan lean per district</t>
  </si>
  <si>
    <t xml:space="preserve">§3.1 race pages, §3.3 fundamentals</t>
  </si>
  <si>
    <t xml:space="preserve">Dataset download (e.g. The Downballot / Daily Kos Elections)</t>
  </si>
  <si>
    <t xml:space="preserve">None (download)</t>
  </si>
  <si>
    <t xml:space="preserve">Free; check license</t>
  </si>
  <si>
    <t xml:space="preserve">Cook PVI is paid; computing lean from 2024 results avoids that.</t>
  </si>
  <si>
    <t xml:space="preserve">unitedstates/congress-legislators + GovTrack</t>
  </si>
  <si>
    <t xml:space="preserve">Incumbents, terms, ideology scores</t>
  </si>
  <si>
    <t xml:space="preserve">Race pages (incumbent record)</t>
  </si>
  <si>
    <t xml:space="preserve">GitHub raw YAML; govtrack.us/data</t>
  </si>
  <si>
    <t xml:space="preserve">None</t>
  </si>
  <si>
    <t xml:space="preserve">News feeds (RSS / Google News RSS)</t>
  </si>
  <si>
    <t xml:space="preserve">Local and national election news</t>
  </si>
  <si>
    <t xml:space="preserve">Agent 1 triage → Agents 2, 3, 5, 8</t>
  </si>
  <si>
    <t xml:space="preserve">Publisher RSS feeds, Google News RSS search</t>
  </si>
  <si>
    <t xml:space="preserve">Respect publisher terms; store headlines/links/snippets.</t>
  </si>
  <si>
    <t xml:space="preserve">News API (optional: NewsAPI, GNews, etc.)</t>
  </si>
  <si>
    <t xml:space="preserve">Searchable article metadata</t>
  </si>
  <si>
    <t xml:space="preserve">Agent 1 coverage beyond RSS</t>
  </si>
  <si>
    <t xml:space="preserve">Vendor REST API</t>
  </si>
  <si>
    <t xml:space="preserve">API key</t>
  </si>
  <si>
    <t xml:space="preserve">Free tier limited; paid for production</t>
  </si>
  <si>
    <t xml:space="preserve">Pick one vendor; free tiers often bar commercial use.</t>
  </si>
  <si>
    <t xml:space="preserve">LLM provider (Gemini — existing)</t>
  </si>
  <si>
    <t xml:space="preserve">Tagging, explanations, briefs, grounded chat</t>
  </si>
  <si>
    <t xml:space="preserve">All agents</t>
  </si>
  <si>
    <t xml:space="preserve">Google Gemini API</t>
  </si>
  <si>
    <t xml:space="preserve">Pay per token</t>
  </si>
  <si>
    <t xml:space="preserve">Plan: cheap model for triage, stronger for Agents 3/5/8.</t>
  </si>
  <si>
    <t xml:space="preserve">Public polling data</t>
  </si>
  <si>
    <t xml:space="preserve">Polls for polling average</t>
  </si>
  <si>
    <t xml:space="preserve">§3.1, §3.3 index</t>
  </si>
  <si>
    <t xml:space="preserve">2</t>
  </si>
  <si>
    <t xml:space="preserve">Source TBD (aggregator CSV or curated entry)</t>
  </si>
  <si>
    <t xml:space="preserve">Varies</t>
  </si>
  <si>
    <t xml:space="preserve">TBD</t>
  </si>
  <si>
    <t xml:space="preserve">No free official API; decide source. Pages show 'No public polling' when none exist.</t>
  </si>
  <si>
    <t xml:space="preserve">Early vote data</t>
  </si>
  <si>
    <t xml:space="preserve">Ballots returned by party registration</t>
  </si>
  <si>
    <t xml:space="preserve">§3.8 early vote tracker</t>
  </si>
  <si>
    <t xml:space="preserve">3</t>
  </si>
  <si>
    <t xml:space="preserve">State election office files; U.S. Elections Project</t>
  </si>
  <si>
    <t xml:space="preserve">Mostly none</t>
  </si>
  <si>
    <t xml:space="preserve">Only states that publish party breakdowns.</t>
  </si>
  <si>
    <t xml:space="preserve">Election results feed (AP Elections API or Decision Desk HQ)</t>
  </si>
  <si>
    <t xml:space="preserve">Live results, race calls</t>
  </si>
  <si>
    <t xml:space="preserve">§3.6 live mode, Agent 9</t>
  </si>
  <si>
    <t xml:space="preserve">4</t>
  </si>
  <si>
    <t xml:space="preserve">AP Elections API / DDHQ API</t>
  </si>
  <si>
    <t xml:space="preserve">Commercial contract</t>
  </si>
  <si>
    <t xml:space="preserve">Paid — contract required</t>
  </si>
  <si>
    <t xml:space="preserve">Decide by Oct 9; procurement is the main risk. Fallback: state SoS results pages.</t>
  </si>
  <si>
    <t xml:space="preserve">State SoS results pages (fallback)</t>
  </si>
  <si>
    <t xml:space="preserve">Official live/unofficial results</t>
  </si>
  <si>
    <t xml:space="preserve">§3.6 fallback</t>
  </si>
  <si>
    <t xml:space="preserve">Per-state results sites / feeds</t>
  </si>
  <si>
    <t xml:space="preserve">Partial (placeholder)</t>
  </si>
  <si>
    <t xml:space="preserve">Formats differ per state; scrape only where permitted.</t>
  </si>
  <si>
    <t xml:space="preserve">Voteview (DW-NOMINATE)</t>
  </si>
  <si>
    <t xml:space="preserve">Party gap in ideology</t>
  </si>
  <si>
    <t xml:space="preserve">§4.4 polarization index</t>
  </si>
  <si>
    <t xml:space="preserve">5</t>
  </si>
  <si>
    <t xml:space="preserve">voteview.com data downloads</t>
  </si>
  <si>
    <t xml:space="preserve">Post-election.</t>
  </si>
  <si>
    <t xml:space="preserve">Pew / ANES</t>
  </si>
  <si>
    <t xml:space="preserve">Affective polarization survey data</t>
  </si>
  <si>
    <t xml:space="preserve">Dataset downloads (registration for ANES)</t>
  </si>
  <si>
    <t xml:space="preserve">Account</t>
  </si>
  <si>
    <t xml:space="preserve">V-Dem, Freedom House, Bright Line Watch</t>
  </si>
  <si>
    <t xml:space="preserve">Democratic-institutions measures</t>
  </si>
  <si>
    <t xml:space="preserve">§4.4 institutions tracker</t>
  </si>
  <si>
    <t xml:space="preserve">Dataset downloads</t>
  </si>
  <si>
    <t xml:space="preserve">None / registration</t>
  </si>
  <si>
    <t xml:space="preserve">New API keys / contracts still to obtain</t>
  </si>
  <si>
    <t xml:space="preserve">Needed for Phase 1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</si>
</sst>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mm\ d&quot;, &quot;yyyy"/>
    <numFmt numFmtId="166" formatCode="mmm\ d"/>
    <numFmt numFmtId="167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EB9C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C6EF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8"/>
    <col collapsed="false" customWidth="true" hidden="false" outlineLevel="0" max="3" min="3" style="0" width="10"/>
    <col collapsed="false" customWidth="true" hidden="false" outlineLevel="0" max="4" min="4" style="0" width="15"/>
    <col collapsed="false" customWidth="true" hidden="false" outlineLevel="0" max="6" min="5" style="0" width="12"/>
    <col collapsed="false" customWidth="true" hidden="false" outlineLevel="0" max="7" min="7" style="0" width="11"/>
    <col collapsed="false" customWidth="true" hidden="false" outlineLevel="0" max="8" min="8" style="0" width="13"/>
    <col collapsed="false" customWidth="true" hidden="false" outlineLevel="0" max="9" min="9" style="0" width="11"/>
    <col collapsed="false" customWidth="true" hidden="false" outlineLevel="0" max="10" min="10" style="0" width="13"/>
    <col collapsed="false" customWidth="true" hidden="false" outlineLevel="0" max="11" min="11" style="0" width="30"/>
    <col collapsed="false" customWidth="true" hidden="false" outlineLevel="0" max="12" min="12" style="0" width="4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3" t="n">
        <v>46329</v>
      </c>
      <c r="D2" s="4" t="s">
        <v>2</v>
      </c>
    </row>
    <row r="3" customFormat="false" ht="15" hidden="false" customHeight="false" outlineLevel="0" collapsed="false">
      <c r="A3" s="2" t="s">
        <v>3</v>
      </c>
      <c r="B3" s="3" t="n">
        <v>46297</v>
      </c>
      <c r="D3" s="4" t="s">
        <v>4</v>
      </c>
    </row>
    <row r="4" customFormat="false" ht="15" hidden="false" customHeight="false" outlineLevel="0" collapsed="false">
      <c r="A4" s="2" t="s">
        <v>5</v>
      </c>
      <c r="B4" s="3" t="n">
        <v>46315</v>
      </c>
    </row>
    <row r="6" customFormat="false" ht="31.5" hidden="false" customHeight="true" outlineLevel="0" collapsed="false">
      <c r="A6" s="5" t="s">
        <v>6</v>
      </c>
      <c r="B6" s="5" t="s">
        <v>7</v>
      </c>
      <c r="C6" s="5" t="s">
        <v>8</v>
      </c>
      <c r="D6" s="5" t="s">
        <v>9</v>
      </c>
      <c r="E6" s="5" t="s">
        <v>10</v>
      </c>
      <c r="F6" s="5" t="s">
        <v>11</v>
      </c>
      <c r="G6" s="5" t="s">
        <v>12</v>
      </c>
      <c r="H6" s="5" t="s">
        <v>13</v>
      </c>
      <c r="I6" s="5" t="s">
        <v>14</v>
      </c>
      <c r="J6" s="5" t="s">
        <v>15</v>
      </c>
      <c r="K6" s="5" t="s">
        <v>16</v>
      </c>
      <c r="L6" s="5" t="s">
        <v>17</v>
      </c>
    </row>
    <row r="7" customFormat="false" ht="15" hidden="false" customHeight="false" outlineLevel="0" collapsed="false">
      <c r="A7" s="6" t="s">
        <v>18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</row>
    <row r="8" customFormat="false" ht="15" hidden="false" customHeight="false" outlineLevel="0" collapsed="false">
      <c r="A8" s="8" t="s">
        <v>18</v>
      </c>
      <c r="B8" s="8" t="s">
        <v>19</v>
      </c>
      <c r="C8" s="8" t="s">
        <v>20</v>
      </c>
      <c r="D8" s="8" t="s">
        <v>21</v>
      </c>
      <c r="E8" s="9" t="n">
        <v>46297</v>
      </c>
      <c r="F8" s="9" t="n">
        <v>46298</v>
      </c>
      <c r="G8" s="8" t="n">
        <f aca="false">F8-E8+1</f>
        <v>2</v>
      </c>
      <c r="H8" s="8" t="n">
        <f aca="false">$B$2-F8</f>
        <v>31</v>
      </c>
      <c r="I8" s="8" t="str">
        <f aca="false">IF(F8&lt;=$B$4,"Yes","No")</f>
        <v>Yes</v>
      </c>
      <c r="J8" s="10" t="s">
        <v>22</v>
      </c>
      <c r="K8" s="8" t="s">
        <v>23</v>
      </c>
      <c r="L8" s="8" t="s">
        <v>24</v>
      </c>
    </row>
    <row r="9" customFormat="false" ht="15" hidden="false" customHeight="false" outlineLevel="0" collapsed="false">
      <c r="A9" s="8" t="s">
        <v>18</v>
      </c>
      <c r="B9" s="8" t="s">
        <v>25</v>
      </c>
      <c r="C9" s="8" t="s">
        <v>26</v>
      </c>
      <c r="D9" s="8" t="s">
        <v>21</v>
      </c>
      <c r="E9" s="9" t="n">
        <v>46298</v>
      </c>
      <c r="F9" s="9" t="n">
        <v>46299</v>
      </c>
      <c r="G9" s="8" t="n">
        <f aca="false">F9-E9+1</f>
        <v>2</v>
      </c>
      <c r="H9" s="8" t="n">
        <f aca="false">$B$2-F9</f>
        <v>30</v>
      </c>
      <c r="I9" s="8" t="str">
        <f aca="false">IF(F9&lt;=$B$4,"Yes","No")</f>
        <v>Yes</v>
      </c>
      <c r="J9" s="10" t="s">
        <v>22</v>
      </c>
      <c r="K9" s="8" t="s">
        <v>27</v>
      </c>
      <c r="L9" s="8" t="s">
        <v>28</v>
      </c>
    </row>
    <row r="10" customFormat="false" ht="26.85" hidden="false" customHeight="false" outlineLevel="0" collapsed="false">
      <c r="A10" s="8" t="s">
        <v>18</v>
      </c>
      <c r="B10" s="8" t="s">
        <v>29</v>
      </c>
      <c r="C10" s="8" t="s">
        <v>30</v>
      </c>
      <c r="D10" s="8" t="s">
        <v>21</v>
      </c>
      <c r="E10" s="9" t="n">
        <v>46298</v>
      </c>
      <c r="F10" s="9" t="n">
        <v>46299</v>
      </c>
      <c r="G10" s="8" t="n">
        <f aca="false">F10-E10+1</f>
        <v>2</v>
      </c>
      <c r="H10" s="8" t="n">
        <f aca="false">$B$2-F10</f>
        <v>30</v>
      </c>
      <c r="I10" s="8" t="str">
        <f aca="false">IF(F10&lt;=$B$4,"Yes","No")</f>
        <v>Yes</v>
      </c>
      <c r="J10" s="10" t="s">
        <v>22</v>
      </c>
      <c r="K10" s="8" t="s">
        <v>31</v>
      </c>
      <c r="L10" s="8" t="s">
        <v>32</v>
      </c>
    </row>
    <row r="11" customFormat="false" ht="15" hidden="false" customHeight="false" outlineLevel="0" collapsed="false">
      <c r="A11" s="8" t="s">
        <v>18</v>
      </c>
      <c r="B11" s="8" t="s">
        <v>33</v>
      </c>
      <c r="C11" s="8" t="s">
        <v>34</v>
      </c>
      <c r="D11" s="8" t="s">
        <v>35</v>
      </c>
      <c r="E11" s="9" t="n">
        <v>46298</v>
      </c>
      <c r="F11" s="9" t="n">
        <v>46299</v>
      </c>
      <c r="G11" s="8" t="n">
        <f aca="false">F11-E11+1</f>
        <v>2</v>
      </c>
      <c r="H11" s="8" t="n">
        <f aca="false">$B$2-F11</f>
        <v>30</v>
      </c>
      <c r="I11" s="8" t="str">
        <f aca="false">IF(F11&lt;=$B$4,"Yes","No")</f>
        <v>Yes</v>
      </c>
      <c r="J11" s="10" t="s">
        <v>22</v>
      </c>
      <c r="K11" s="8" t="s">
        <v>36</v>
      </c>
      <c r="L11" s="8" t="s">
        <v>37</v>
      </c>
    </row>
    <row r="12" customFormat="false" ht="26.85" hidden="false" customHeight="false" outlineLevel="0" collapsed="false">
      <c r="A12" s="8" t="s">
        <v>18</v>
      </c>
      <c r="B12" s="8" t="s">
        <v>38</v>
      </c>
      <c r="C12" s="8" t="s">
        <v>39</v>
      </c>
      <c r="D12" s="8" t="s">
        <v>21</v>
      </c>
      <c r="E12" s="9" t="n">
        <v>46300</v>
      </c>
      <c r="F12" s="9" t="n">
        <v>46303</v>
      </c>
      <c r="G12" s="8" t="n">
        <f aca="false">F12-E12+1</f>
        <v>4</v>
      </c>
      <c r="H12" s="8" t="n">
        <f aca="false">$B$2-F12</f>
        <v>26</v>
      </c>
      <c r="I12" s="8" t="str">
        <f aca="false">IF(F12&lt;=$B$4,"Yes","No")</f>
        <v>Yes</v>
      </c>
      <c r="J12" s="10" t="s">
        <v>22</v>
      </c>
      <c r="K12" s="8" t="s">
        <v>40</v>
      </c>
      <c r="L12" s="8"/>
    </row>
    <row r="13" customFormat="false" ht="15" hidden="false" customHeight="false" outlineLevel="0" collapsed="false">
      <c r="A13" s="6" t="s">
        <v>41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</row>
    <row r="14" customFormat="false" ht="15" hidden="false" customHeight="false" outlineLevel="0" collapsed="false">
      <c r="A14" s="8" t="s">
        <v>41</v>
      </c>
      <c r="B14" s="8" t="s">
        <v>42</v>
      </c>
      <c r="C14" s="8" t="s">
        <v>43</v>
      </c>
      <c r="D14" s="8" t="s">
        <v>35</v>
      </c>
      <c r="E14" s="9" t="n">
        <v>46301</v>
      </c>
      <c r="F14" s="9" t="n">
        <v>46303</v>
      </c>
      <c r="G14" s="8" t="n">
        <f aca="false">F14-E14+1</f>
        <v>3</v>
      </c>
      <c r="H14" s="8" t="n">
        <f aca="false">$B$2-F14</f>
        <v>26</v>
      </c>
      <c r="I14" s="8" t="str">
        <f aca="false">IF(F14&lt;=$B$4,"Yes","No")</f>
        <v>Yes</v>
      </c>
      <c r="J14" s="10" t="s">
        <v>22</v>
      </c>
      <c r="K14" s="8" t="s">
        <v>44</v>
      </c>
      <c r="L14" s="8" t="s">
        <v>45</v>
      </c>
    </row>
    <row r="15" customFormat="false" ht="15" hidden="false" customHeight="false" outlineLevel="0" collapsed="false">
      <c r="A15" s="8" t="s">
        <v>41</v>
      </c>
      <c r="B15" s="8" t="s">
        <v>46</v>
      </c>
      <c r="C15" s="8" t="s">
        <v>47</v>
      </c>
      <c r="D15" s="8" t="s">
        <v>35</v>
      </c>
      <c r="E15" s="9" t="n">
        <v>46302</v>
      </c>
      <c r="F15" s="9" t="n">
        <v>46304</v>
      </c>
      <c r="G15" s="8" t="n">
        <f aca="false">F15-E15+1</f>
        <v>3</v>
      </c>
      <c r="H15" s="8" t="n">
        <f aca="false">$B$2-F15</f>
        <v>25</v>
      </c>
      <c r="I15" s="8" t="str">
        <f aca="false">IF(F15&lt;=$B$4,"Yes","No")</f>
        <v>Yes</v>
      </c>
      <c r="J15" s="10" t="s">
        <v>22</v>
      </c>
      <c r="K15" s="8" t="s">
        <v>48</v>
      </c>
      <c r="L15" s="8" t="s">
        <v>49</v>
      </c>
    </row>
    <row r="16" customFormat="false" ht="15" hidden="false" customHeight="false" outlineLevel="0" collapsed="false">
      <c r="A16" s="8" t="s">
        <v>41</v>
      </c>
      <c r="B16" s="8" t="s">
        <v>50</v>
      </c>
      <c r="C16" s="8" t="s">
        <v>51</v>
      </c>
      <c r="D16" s="8" t="s">
        <v>35</v>
      </c>
      <c r="E16" s="9" t="n">
        <v>46303</v>
      </c>
      <c r="F16" s="9" t="n">
        <v>46304</v>
      </c>
      <c r="G16" s="8" t="n">
        <f aca="false">F16-E16+1</f>
        <v>2</v>
      </c>
      <c r="H16" s="8" t="n">
        <f aca="false">$B$2-F16</f>
        <v>25</v>
      </c>
      <c r="I16" s="8" t="str">
        <f aca="false">IF(F16&lt;=$B$4,"Yes","No")</f>
        <v>Yes</v>
      </c>
      <c r="J16" s="10" t="s">
        <v>22</v>
      </c>
      <c r="K16" s="8" t="s">
        <v>52</v>
      </c>
      <c r="L16" s="8"/>
    </row>
    <row r="17" customFormat="false" ht="15" hidden="false" customHeight="false" outlineLevel="0" collapsed="false">
      <c r="A17" s="6" t="s">
        <v>53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</row>
    <row r="18" customFormat="false" ht="15" hidden="false" customHeight="false" outlineLevel="0" collapsed="false">
      <c r="A18" s="8" t="s">
        <v>53</v>
      </c>
      <c r="B18" s="8" t="s">
        <v>54</v>
      </c>
      <c r="C18" s="8" t="s">
        <v>55</v>
      </c>
      <c r="D18" s="8" t="s">
        <v>56</v>
      </c>
      <c r="E18" s="9" t="n">
        <v>46305</v>
      </c>
      <c r="F18" s="9" t="n">
        <v>46306</v>
      </c>
      <c r="G18" s="8" t="n">
        <f aca="false">F18-E18+1</f>
        <v>2</v>
      </c>
      <c r="H18" s="8" t="n">
        <f aca="false">$B$2-F18</f>
        <v>23</v>
      </c>
      <c r="I18" s="8" t="str">
        <f aca="false">IF(F18&lt;=$B$4,"Yes","No")</f>
        <v>Yes</v>
      </c>
      <c r="J18" s="10" t="s">
        <v>22</v>
      </c>
      <c r="K18" s="8" t="s">
        <v>57</v>
      </c>
      <c r="L18" s="8"/>
    </row>
    <row r="19" customFormat="false" ht="15" hidden="false" customHeight="false" outlineLevel="0" collapsed="false">
      <c r="A19" s="8" t="s">
        <v>53</v>
      </c>
      <c r="B19" s="8" t="s">
        <v>58</v>
      </c>
      <c r="C19" s="8" t="s">
        <v>59</v>
      </c>
      <c r="D19" s="8" t="s">
        <v>56</v>
      </c>
      <c r="E19" s="9" t="n">
        <v>46306</v>
      </c>
      <c r="F19" s="9" t="n">
        <v>46307</v>
      </c>
      <c r="G19" s="8" t="n">
        <f aca="false">F19-E19+1</f>
        <v>2</v>
      </c>
      <c r="H19" s="8" t="n">
        <f aca="false">$B$2-F19</f>
        <v>22</v>
      </c>
      <c r="I19" s="8" t="str">
        <f aca="false">IF(F19&lt;=$B$4,"Yes","No")</f>
        <v>Yes</v>
      </c>
      <c r="J19" s="10" t="s">
        <v>22</v>
      </c>
      <c r="K19" s="8" t="s">
        <v>60</v>
      </c>
      <c r="L19" s="8"/>
    </row>
    <row r="20" customFormat="false" ht="15" hidden="false" customHeight="false" outlineLevel="0" collapsed="false">
      <c r="A20" s="8" t="s">
        <v>53</v>
      </c>
      <c r="B20" s="8" t="s">
        <v>61</v>
      </c>
      <c r="C20" s="8" t="s">
        <v>62</v>
      </c>
      <c r="D20" s="8" t="s">
        <v>56</v>
      </c>
      <c r="E20" s="9" t="n">
        <v>46307</v>
      </c>
      <c r="F20" s="9" t="n">
        <v>46308</v>
      </c>
      <c r="G20" s="8" t="n">
        <f aca="false">F20-E20+1</f>
        <v>2</v>
      </c>
      <c r="H20" s="8" t="n">
        <f aca="false">$B$2-F20</f>
        <v>21</v>
      </c>
      <c r="I20" s="8" t="str">
        <f aca="false">IF(F20&lt;=$B$4,"Yes","No")</f>
        <v>Yes</v>
      </c>
      <c r="J20" s="10" t="s">
        <v>22</v>
      </c>
      <c r="K20" s="8" t="s">
        <v>63</v>
      </c>
      <c r="L20" s="8"/>
    </row>
    <row r="21" customFormat="false" ht="15" hidden="false" customHeight="false" outlineLevel="0" collapsed="false">
      <c r="A21" s="8" t="s">
        <v>53</v>
      </c>
      <c r="B21" s="8" t="s">
        <v>64</v>
      </c>
      <c r="C21" s="8" t="s">
        <v>65</v>
      </c>
      <c r="D21" s="8" t="s">
        <v>56</v>
      </c>
      <c r="E21" s="9" t="n">
        <v>46308</v>
      </c>
      <c r="F21" s="9" t="n">
        <v>46310</v>
      </c>
      <c r="G21" s="8" t="n">
        <f aca="false">F21-E21+1</f>
        <v>3</v>
      </c>
      <c r="H21" s="8" t="n">
        <f aca="false">$B$2-F21</f>
        <v>19</v>
      </c>
      <c r="I21" s="8" t="str">
        <f aca="false">IF(F21&lt;=$B$4,"Yes","No")</f>
        <v>Yes</v>
      </c>
      <c r="J21" s="10" t="s">
        <v>22</v>
      </c>
      <c r="K21" s="8" t="s">
        <v>66</v>
      </c>
      <c r="L21" s="8" t="s">
        <v>67</v>
      </c>
    </row>
    <row r="22" customFormat="false" ht="15" hidden="false" customHeight="false" outlineLevel="0" collapsed="false">
      <c r="A22" s="8" t="s">
        <v>53</v>
      </c>
      <c r="B22" s="8" t="s">
        <v>68</v>
      </c>
      <c r="C22" s="8" t="s">
        <v>69</v>
      </c>
      <c r="D22" s="8" t="s">
        <v>56</v>
      </c>
      <c r="E22" s="9" t="n">
        <v>46309</v>
      </c>
      <c r="F22" s="9" t="n">
        <v>46311</v>
      </c>
      <c r="G22" s="8" t="n">
        <f aca="false">F22-E22+1</f>
        <v>3</v>
      </c>
      <c r="H22" s="8" t="n">
        <f aca="false">$B$2-F22</f>
        <v>18</v>
      </c>
      <c r="I22" s="8" t="str">
        <f aca="false">IF(F22&lt;=$B$4,"Yes","No")</f>
        <v>Yes</v>
      </c>
      <c r="J22" s="10" t="s">
        <v>22</v>
      </c>
      <c r="K22" s="8" t="s">
        <v>70</v>
      </c>
      <c r="L22" s="8" t="s">
        <v>71</v>
      </c>
    </row>
    <row r="23" customFormat="false" ht="15" hidden="false" customHeight="false" outlineLevel="0" collapsed="false">
      <c r="A23" s="8" t="s">
        <v>53</v>
      </c>
      <c r="B23" s="8" t="s">
        <v>72</v>
      </c>
      <c r="C23" s="8" t="s">
        <v>73</v>
      </c>
      <c r="D23" s="8" t="s">
        <v>56</v>
      </c>
      <c r="E23" s="9" t="n">
        <v>46311</v>
      </c>
      <c r="F23" s="9" t="n">
        <v>46313</v>
      </c>
      <c r="G23" s="8" t="n">
        <f aca="false">F23-E23+1</f>
        <v>3</v>
      </c>
      <c r="H23" s="8" t="n">
        <f aca="false">$B$2-F23</f>
        <v>16</v>
      </c>
      <c r="I23" s="8" t="str">
        <f aca="false">IF(F23&lt;=$B$4,"Yes","No")</f>
        <v>Yes</v>
      </c>
      <c r="J23" s="10" t="s">
        <v>22</v>
      </c>
      <c r="K23" s="8" t="s">
        <v>74</v>
      </c>
      <c r="L23" s="8"/>
    </row>
    <row r="24" customFormat="false" ht="15" hidden="false" customHeight="false" outlineLevel="0" collapsed="false">
      <c r="A24" s="6" t="s">
        <v>75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</row>
    <row r="25" customFormat="false" ht="15" hidden="false" customHeight="false" outlineLevel="0" collapsed="false">
      <c r="A25" s="8" t="s">
        <v>75</v>
      </c>
      <c r="B25" s="8" t="s">
        <v>76</v>
      </c>
      <c r="C25" s="8" t="s">
        <v>77</v>
      </c>
      <c r="D25" s="8" t="s">
        <v>78</v>
      </c>
      <c r="E25" s="9" t="n">
        <v>46297</v>
      </c>
      <c r="F25" s="9" t="n">
        <v>46304</v>
      </c>
      <c r="G25" s="8" t="n">
        <f aca="false">F25-E25+1</f>
        <v>8</v>
      </c>
      <c r="H25" s="8" t="n">
        <f aca="false">$B$2-F25</f>
        <v>25</v>
      </c>
      <c r="I25" s="8" t="str">
        <f aca="false">IF(F25&lt;=$B$4,"Yes","No")</f>
        <v>Yes</v>
      </c>
      <c r="J25" s="10" t="s">
        <v>22</v>
      </c>
      <c r="K25" s="8" t="s">
        <v>79</v>
      </c>
      <c r="L25" s="8" t="s">
        <v>80</v>
      </c>
    </row>
    <row r="26" customFormat="false" ht="15" hidden="false" customHeight="false" outlineLevel="0" collapsed="false">
      <c r="A26" s="8" t="s">
        <v>75</v>
      </c>
      <c r="B26" s="8" t="s">
        <v>81</v>
      </c>
      <c r="C26" s="8" t="s">
        <v>77</v>
      </c>
      <c r="D26" s="8" t="s">
        <v>78</v>
      </c>
      <c r="E26" s="9" t="n">
        <v>46314</v>
      </c>
      <c r="F26" s="9" t="n">
        <v>46319</v>
      </c>
      <c r="G26" s="8" t="n">
        <f aca="false">F26-E26+1</f>
        <v>6</v>
      </c>
      <c r="H26" s="8" t="n">
        <f aca="false">$B$2-F26</f>
        <v>10</v>
      </c>
      <c r="I26" s="8" t="str">
        <f aca="false">IF(F26&lt;=$B$4,"Yes","No")</f>
        <v>No</v>
      </c>
      <c r="J26" s="10" t="s">
        <v>22</v>
      </c>
      <c r="K26" s="8" t="s">
        <v>82</v>
      </c>
      <c r="L26" s="8"/>
    </row>
    <row r="27" customFormat="false" ht="15" hidden="false" customHeight="false" outlineLevel="0" collapsed="false">
      <c r="A27" s="8" t="s">
        <v>75</v>
      </c>
      <c r="B27" s="8" t="s">
        <v>83</v>
      </c>
      <c r="C27" s="8" t="s">
        <v>84</v>
      </c>
      <c r="D27" s="8" t="s">
        <v>78</v>
      </c>
      <c r="E27" s="9" t="n">
        <v>46314</v>
      </c>
      <c r="F27" s="9" t="n">
        <v>46317</v>
      </c>
      <c r="G27" s="8" t="n">
        <f aca="false">F27-E27+1</f>
        <v>4</v>
      </c>
      <c r="H27" s="8" t="n">
        <f aca="false">$B$2-F27</f>
        <v>12</v>
      </c>
      <c r="I27" s="8" t="str">
        <f aca="false">IF(F27&lt;=$B$4,"Yes","No")</f>
        <v>No</v>
      </c>
      <c r="J27" s="10" t="s">
        <v>22</v>
      </c>
      <c r="K27" s="8" t="s">
        <v>85</v>
      </c>
      <c r="L27" s="8"/>
    </row>
    <row r="28" customFormat="false" ht="15" hidden="false" customHeight="false" outlineLevel="0" collapsed="false">
      <c r="A28" s="8" t="s">
        <v>75</v>
      </c>
      <c r="B28" s="8" t="s">
        <v>86</v>
      </c>
      <c r="C28" s="8" t="s">
        <v>77</v>
      </c>
      <c r="D28" s="8" t="s">
        <v>78</v>
      </c>
      <c r="E28" s="9" t="n">
        <v>46316</v>
      </c>
      <c r="F28" s="9" t="n">
        <v>46325</v>
      </c>
      <c r="G28" s="8" t="n">
        <f aca="false">F28-E28+1</f>
        <v>10</v>
      </c>
      <c r="H28" s="8" t="n">
        <f aca="false">$B$2-F28</f>
        <v>4</v>
      </c>
      <c r="I28" s="8" t="str">
        <f aca="false">IF(F28&lt;=$B$4,"Yes","No")</f>
        <v>No</v>
      </c>
      <c r="J28" s="10" t="s">
        <v>22</v>
      </c>
      <c r="K28" s="8" t="s">
        <v>87</v>
      </c>
      <c r="L28" s="8"/>
    </row>
    <row r="29" customFormat="false" ht="15" hidden="false" customHeight="false" outlineLevel="0" collapsed="false">
      <c r="A29" s="8" t="s">
        <v>75</v>
      </c>
      <c r="B29" s="8" t="s">
        <v>88</v>
      </c>
      <c r="C29" s="8" t="s">
        <v>89</v>
      </c>
      <c r="D29" s="8" t="s">
        <v>78</v>
      </c>
      <c r="E29" s="9" t="n">
        <v>46321</v>
      </c>
      <c r="F29" s="9" t="n">
        <v>46326</v>
      </c>
      <c r="G29" s="8" t="n">
        <f aca="false">F29-E29+1</f>
        <v>6</v>
      </c>
      <c r="H29" s="8" t="n">
        <f aca="false">$B$2-F29</f>
        <v>3</v>
      </c>
      <c r="I29" s="8" t="str">
        <f aca="false">IF(F29&lt;=$B$4,"Yes","No")</f>
        <v>No</v>
      </c>
      <c r="J29" s="10" t="s">
        <v>22</v>
      </c>
      <c r="K29" s="8" t="s">
        <v>90</v>
      </c>
      <c r="L29" s="8"/>
    </row>
    <row r="30" customFormat="false" ht="15" hidden="false" customHeight="false" outlineLevel="0" collapsed="false">
      <c r="A30" s="6" t="s">
        <v>91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</row>
    <row r="31" customFormat="false" ht="15" hidden="false" customHeight="false" outlineLevel="0" collapsed="false">
      <c r="A31" s="8" t="s">
        <v>91</v>
      </c>
      <c r="B31" s="8" t="s">
        <v>92</v>
      </c>
      <c r="C31" s="8" t="s">
        <v>93</v>
      </c>
      <c r="D31" s="8" t="s">
        <v>94</v>
      </c>
      <c r="E31" s="9" t="n">
        <v>46335</v>
      </c>
      <c r="F31" s="9" t="n">
        <v>46346</v>
      </c>
      <c r="G31" s="8" t="n">
        <f aca="false">F31-E31+1</f>
        <v>12</v>
      </c>
      <c r="H31" s="8" t="n">
        <f aca="false">$B$2-F31</f>
        <v>-17</v>
      </c>
      <c r="I31" s="8" t="str">
        <f aca="false">IF(F31&lt;=$B$4,"Yes","No")</f>
        <v>No</v>
      </c>
      <c r="J31" s="10" t="s">
        <v>95</v>
      </c>
      <c r="K31" s="8" t="s">
        <v>96</v>
      </c>
      <c r="L31" s="8" t="s">
        <v>97</v>
      </c>
    </row>
    <row r="32" customFormat="false" ht="15" hidden="false" customHeight="false" outlineLevel="0" collapsed="false">
      <c r="A32" s="8" t="s">
        <v>91</v>
      </c>
      <c r="B32" s="8" t="s">
        <v>98</v>
      </c>
      <c r="C32" s="8" t="s">
        <v>99</v>
      </c>
      <c r="D32" s="8" t="s">
        <v>94</v>
      </c>
      <c r="E32" s="9" t="n">
        <v>46342</v>
      </c>
      <c r="F32" s="9" t="n">
        <v>46367</v>
      </c>
      <c r="G32" s="8" t="n">
        <f aca="false">F32-E32+1</f>
        <v>26</v>
      </c>
      <c r="H32" s="8" t="n">
        <f aca="false">$B$2-F32</f>
        <v>-38</v>
      </c>
      <c r="I32" s="8" t="str">
        <f aca="false">IF(F32&lt;=$B$4,"Yes","No")</f>
        <v>No</v>
      </c>
      <c r="J32" s="10" t="s">
        <v>95</v>
      </c>
      <c r="K32" s="8" t="s">
        <v>100</v>
      </c>
      <c r="L32" s="8" t="s">
        <v>101</v>
      </c>
    </row>
    <row r="33" customFormat="false" ht="26.85" hidden="false" customHeight="false" outlineLevel="0" collapsed="false">
      <c r="A33" s="8" t="s">
        <v>91</v>
      </c>
      <c r="B33" s="8" t="s">
        <v>102</v>
      </c>
      <c r="C33" s="8" t="s">
        <v>103</v>
      </c>
      <c r="D33" s="8" t="s">
        <v>94</v>
      </c>
      <c r="E33" s="9" t="n">
        <v>46357</v>
      </c>
      <c r="F33" s="9" t="n">
        <v>46387</v>
      </c>
      <c r="G33" s="8" t="n">
        <f aca="false">F33-E33+1</f>
        <v>31</v>
      </c>
      <c r="H33" s="8" t="n">
        <f aca="false">$B$2-F33</f>
        <v>-58</v>
      </c>
      <c r="I33" s="8" t="str">
        <f aca="false">IF(F33&lt;=$B$4,"Yes","No")</f>
        <v>No</v>
      </c>
      <c r="J33" s="10" t="s">
        <v>95</v>
      </c>
      <c r="K33" s="8"/>
      <c r="L33" s="8"/>
    </row>
    <row r="35" customFormat="false" ht="15" hidden="false" customHeight="false" outlineLevel="0" collapsed="false">
      <c r="A35" s="11" t="s">
        <v>104</v>
      </c>
    </row>
    <row r="36" customFormat="false" ht="15" hidden="false" customHeight="false" outlineLevel="0" collapsed="false">
      <c r="A36" s="12" t="s">
        <v>105</v>
      </c>
      <c r="B36" s="12" t="n">
        <f aca="false">COUNTIF($J$7:$J$33,A36)</f>
        <v>0</v>
      </c>
    </row>
    <row r="37" customFormat="false" ht="15" hidden="false" customHeight="false" outlineLevel="0" collapsed="false">
      <c r="A37" s="12" t="s">
        <v>106</v>
      </c>
      <c r="B37" s="12" t="n">
        <f aca="false">COUNTIF($J$7:$J$33,A37)</f>
        <v>0</v>
      </c>
    </row>
    <row r="38" customFormat="false" ht="15" hidden="false" customHeight="false" outlineLevel="0" collapsed="false">
      <c r="A38" s="12" t="s">
        <v>22</v>
      </c>
      <c r="B38" s="12" t="n">
        <f aca="false">COUNTIF($J$7:$J$33,A38)</f>
        <v>19</v>
      </c>
    </row>
    <row r="39" customFormat="false" ht="15" hidden="false" customHeight="false" outlineLevel="0" collapsed="false">
      <c r="A39" s="12" t="s">
        <v>107</v>
      </c>
      <c r="B39" s="12" t="n">
        <f aca="false">COUNTIF($J$7:$J$33,A39)</f>
        <v>0</v>
      </c>
    </row>
    <row r="40" customFormat="false" ht="15" hidden="false" customHeight="false" outlineLevel="0" collapsed="false">
      <c r="A40" s="12" t="s">
        <v>95</v>
      </c>
      <c r="B40" s="12" t="n">
        <f aca="false">COUNTIF($J$7:$J$33,A40)</f>
        <v>3</v>
      </c>
    </row>
    <row r="41" customFormat="false" ht="15" hidden="false" customHeight="false" outlineLevel="0" collapsed="false">
      <c r="A41" s="2" t="s">
        <v>108</v>
      </c>
      <c r="B41" s="2" t="n">
        <f aca="false">COUNTA($B$7:$B$33)</f>
        <v>22</v>
      </c>
    </row>
    <row r="42" customFormat="false" ht="15" hidden="false" customHeight="false" outlineLevel="0" collapsed="false">
      <c r="A42" s="2" t="s">
        <v>109</v>
      </c>
      <c r="B42" s="13" t="n">
        <f aca="false">IF(B41=0,0,COUNTIF($J$7:$J$33,"Done")/B41)</f>
        <v>0</v>
      </c>
    </row>
  </sheetData>
  <conditionalFormatting sqref="J7:J33">
    <cfRule type="expression" priority="2" aboveAverage="0" equalAverage="0" bottom="0" percent="0" rank="0" text="" dxfId="0">
      <formula>J7="Done"</formula>
    </cfRule>
    <cfRule type="expression" priority="3" aboveAverage="0" equalAverage="0" bottom="0" percent="0" rank="0" text="" dxfId="1">
      <formula>J7="In progress"</formula>
    </cfRule>
    <cfRule type="expression" priority="4" aboveAverage="0" equalAverage="0" bottom="0" percent="0" rank="0" text="" dxfId="2">
      <formula>J7="Blocked"</formula>
    </cfRule>
  </conditionalFormatting>
  <conditionalFormatting sqref="I7:I33">
    <cfRule type="expression" priority="5" aboveAverage="0" equalAverage="0" bottom="0" percent="0" rank="0" text="" dxfId="3">
      <formula>AND(I7="No",VALUE(LEFT(A7,1))&lt;=3)</formula>
    </cfRule>
  </conditionalFormatting>
  <dataValidations count="1">
    <dataValidation allowBlank="true" errorStyle="stop" operator="between" showDropDown="false" showErrorMessage="false" showInputMessage="false" sqref="J7:J33" type="list">
      <formula1>"Not started,In progress,Done,Blocked,Deferred"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38"/>
    <col collapsed="false" customWidth="true" hidden="false" outlineLevel="0" max="4" min="4" style="0" width="34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7" min="7" style="0" width="36"/>
    <col collapsed="false" customWidth="true" hidden="false" outlineLevel="0" max="8" min="8" style="0" width="22"/>
    <col collapsed="false" customWidth="true" hidden="false" outlineLevel="0" max="9" min="9" style="0" width="20"/>
    <col collapsed="false" customWidth="true" hidden="false" outlineLevel="0" max="10" min="10" style="0" width="13"/>
    <col collapsed="false" customWidth="true" hidden="false" outlineLevel="0" max="12" min="11" style="0" width="12"/>
    <col collapsed="false" customWidth="true" hidden="false" outlineLevel="0" max="13" min="13" style="0" width="44"/>
  </cols>
  <sheetData>
    <row r="1" customFormat="false" ht="17.35" hidden="false" customHeight="false" outlineLevel="0" collapsed="false">
      <c r="A1" s="1" t="s">
        <v>110</v>
      </c>
    </row>
    <row r="2" customFormat="false" ht="15" hidden="false" customHeight="false" outlineLevel="0" collapsed="false">
      <c r="A2" s="4" t="s">
        <v>111</v>
      </c>
    </row>
    <row r="4" customFormat="false" ht="31.5" hidden="false" customHeight="true" outlineLevel="0" collapsed="false">
      <c r="A4" s="5" t="s">
        <v>112</v>
      </c>
      <c r="B4" s="5" t="s">
        <v>113</v>
      </c>
      <c r="C4" s="5" t="s">
        <v>114</v>
      </c>
      <c r="D4" s="5" t="s">
        <v>115</v>
      </c>
      <c r="E4" s="5" t="s">
        <v>116</v>
      </c>
      <c r="F4" s="5" t="s">
        <v>117</v>
      </c>
      <c r="G4" s="5" t="s">
        <v>118</v>
      </c>
      <c r="H4" s="5" t="s">
        <v>119</v>
      </c>
      <c r="I4" s="5" t="s">
        <v>120</v>
      </c>
      <c r="J4" s="5" t="s">
        <v>121</v>
      </c>
      <c r="K4" s="5" t="s">
        <v>122</v>
      </c>
      <c r="L4" s="5" t="s">
        <v>123</v>
      </c>
      <c r="M4" s="5" t="s">
        <v>17</v>
      </c>
    </row>
    <row r="5" customFormat="false" ht="15" hidden="false" customHeight="false" outlineLevel="0" collapsed="false">
      <c r="A5" s="8" t="n">
        <v>1</v>
      </c>
      <c r="B5" s="8" t="s">
        <v>124</v>
      </c>
      <c r="C5" s="8" t="s">
        <v>125</v>
      </c>
      <c r="D5" s="8" t="s">
        <v>126</v>
      </c>
      <c r="E5" s="8" t="s">
        <v>127</v>
      </c>
      <c r="F5" s="14" t="n">
        <v>46298</v>
      </c>
      <c r="G5" s="8" t="s">
        <v>128</v>
      </c>
      <c r="H5" s="8" t="s">
        <v>129</v>
      </c>
      <c r="I5" s="8" t="s">
        <v>130</v>
      </c>
      <c r="J5" s="8" t="s">
        <v>131</v>
      </c>
      <c r="K5" s="10" t="s">
        <v>131</v>
      </c>
      <c r="L5" s="10"/>
      <c r="M5" s="8" t="s">
        <v>132</v>
      </c>
    </row>
    <row r="6" customFormat="false" ht="15" hidden="false" customHeight="false" outlineLevel="0" collapsed="false">
      <c r="A6" s="8" t="n">
        <v>2</v>
      </c>
      <c r="B6" s="8" t="s">
        <v>133</v>
      </c>
      <c r="C6" s="8" t="s">
        <v>134</v>
      </c>
      <c r="D6" s="8" t="s">
        <v>135</v>
      </c>
      <c r="E6" s="8" t="s">
        <v>127</v>
      </c>
      <c r="F6" s="14" t="n">
        <v>46298</v>
      </c>
      <c r="G6" s="8" t="s">
        <v>136</v>
      </c>
      <c r="H6" s="8" t="s">
        <v>137</v>
      </c>
      <c r="I6" s="8" t="s">
        <v>130</v>
      </c>
      <c r="J6" s="8" t="s">
        <v>131</v>
      </c>
      <c r="K6" s="10" t="s">
        <v>131</v>
      </c>
      <c r="L6" s="10"/>
      <c r="M6" s="8"/>
    </row>
    <row r="7" customFormat="false" ht="26.85" hidden="false" customHeight="false" outlineLevel="0" collapsed="false">
      <c r="A7" s="8" t="n">
        <v>3</v>
      </c>
      <c r="B7" s="8" t="s">
        <v>138</v>
      </c>
      <c r="C7" s="8" t="s">
        <v>139</v>
      </c>
      <c r="D7" s="8" t="s">
        <v>140</v>
      </c>
      <c r="E7" s="8" t="s">
        <v>127</v>
      </c>
      <c r="F7" s="14" t="n">
        <v>46300</v>
      </c>
      <c r="G7" s="8" t="s">
        <v>141</v>
      </c>
      <c r="H7" s="8" t="s">
        <v>142</v>
      </c>
      <c r="I7" s="8" t="s">
        <v>143</v>
      </c>
      <c r="J7" s="8" t="s">
        <v>131</v>
      </c>
      <c r="K7" s="10" t="s">
        <v>131</v>
      </c>
      <c r="L7" s="10"/>
      <c r="M7" s="8" t="s">
        <v>144</v>
      </c>
    </row>
    <row r="8" customFormat="false" ht="26.85" hidden="false" customHeight="false" outlineLevel="0" collapsed="false">
      <c r="A8" s="8" t="n">
        <v>4</v>
      </c>
      <c r="B8" s="8" t="s">
        <v>145</v>
      </c>
      <c r="C8" s="8" t="s">
        <v>146</v>
      </c>
      <c r="D8" s="8" t="s">
        <v>147</v>
      </c>
      <c r="E8" s="8" t="s">
        <v>127</v>
      </c>
      <c r="F8" s="14" t="n">
        <v>46299</v>
      </c>
      <c r="G8" s="8" t="s">
        <v>148</v>
      </c>
      <c r="H8" s="8" t="s">
        <v>149</v>
      </c>
      <c r="I8" s="8" t="s">
        <v>130</v>
      </c>
      <c r="J8" s="8" t="s">
        <v>150</v>
      </c>
      <c r="K8" s="10"/>
      <c r="L8" s="10"/>
      <c r="M8" s="8" t="s">
        <v>151</v>
      </c>
    </row>
    <row r="9" customFormat="false" ht="26.85" hidden="false" customHeight="false" outlineLevel="0" collapsed="false">
      <c r="A9" s="8" t="n">
        <v>5</v>
      </c>
      <c r="B9" s="8" t="s">
        <v>152</v>
      </c>
      <c r="C9" s="8" t="s">
        <v>153</v>
      </c>
      <c r="D9" s="8" t="s">
        <v>154</v>
      </c>
      <c r="E9" s="8" t="s">
        <v>127</v>
      </c>
      <c r="F9" s="14" t="n">
        <v>46300</v>
      </c>
      <c r="G9" s="8" t="s">
        <v>155</v>
      </c>
      <c r="H9" s="8" t="s">
        <v>149</v>
      </c>
      <c r="I9" s="8" t="s">
        <v>130</v>
      </c>
      <c r="J9" s="8" t="s">
        <v>150</v>
      </c>
      <c r="K9" s="10"/>
      <c r="L9" s="10"/>
      <c r="M9" s="8"/>
    </row>
    <row r="10" customFormat="false" ht="26.85" hidden="false" customHeight="false" outlineLevel="0" collapsed="false">
      <c r="A10" s="8" t="n">
        <v>6</v>
      </c>
      <c r="B10" s="8" t="s">
        <v>156</v>
      </c>
      <c r="C10" s="8" t="s">
        <v>157</v>
      </c>
      <c r="D10" s="8" t="s">
        <v>158</v>
      </c>
      <c r="E10" s="8" t="s">
        <v>127</v>
      </c>
      <c r="F10" s="14" t="n">
        <v>46300</v>
      </c>
      <c r="G10" s="8" t="s">
        <v>159</v>
      </c>
      <c r="H10" s="8" t="s">
        <v>160</v>
      </c>
      <c r="I10" s="8" t="s">
        <v>161</v>
      </c>
      <c r="J10" s="8" t="s">
        <v>150</v>
      </c>
      <c r="K10" s="10"/>
      <c r="L10" s="10"/>
      <c r="M10" s="8" t="s">
        <v>162</v>
      </c>
    </row>
    <row r="11" customFormat="false" ht="26.85" hidden="false" customHeight="false" outlineLevel="0" collapsed="false">
      <c r="A11" s="8" t="n">
        <v>7</v>
      </c>
      <c r="B11" s="8" t="s">
        <v>163</v>
      </c>
      <c r="C11" s="8" t="s">
        <v>164</v>
      </c>
      <c r="D11" s="8" t="s">
        <v>165</v>
      </c>
      <c r="E11" s="8" t="s">
        <v>127</v>
      </c>
      <c r="F11" s="14" t="n">
        <v>46300</v>
      </c>
      <c r="G11" s="8" t="s">
        <v>166</v>
      </c>
      <c r="H11" s="8" t="s">
        <v>167</v>
      </c>
      <c r="I11" s="8" t="s">
        <v>130</v>
      </c>
      <c r="J11" s="8" t="s">
        <v>131</v>
      </c>
      <c r="K11" s="10" t="s">
        <v>131</v>
      </c>
      <c r="L11" s="10"/>
      <c r="M11" s="8"/>
    </row>
    <row r="12" customFormat="false" ht="15" hidden="false" customHeight="false" outlineLevel="0" collapsed="false">
      <c r="A12" s="8" t="n">
        <v>8</v>
      </c>
      <c r="B12" s="8" t="s">
        <v>168</v>
      </c>
      <c r="C12" s="8" t="s">
        <v>169</v>
      </c>
      <c r="D12" s="8" t="s">
        <v>170</v>
      </c>
      <c r="E12" s="8" t="s">
        <v>127</v>
      </c>
      <c r="F12" s="14" t="n">
        <v>46299</v>
      </c>
      <c r="G12" s="8" t="s">
        <v>171</v>
      </c>
      <c r="H12" s="8" t="s">
        <v>167</v>
      </c>
      <c r="I12" s="8" t="s">
        <v>130</v>
      </c>
      <c r="J12" s="8" t="s">
        <v>150</v>
      </c>
      <c r="K12" s="10"/>
      <c r="L12" s="10"/>
      <c r="M12" s="8" t="s">
        <v>172</v>
      </c>
    </row>
    <row r="13" customFormat="false" ht="26.85" hidden="false" customHeight="false" outlineLevel="0" collapsed="false">
      <c r="A13" s="8" t="n">
        <v>9</v>
      </c>
      <c r="B13" s="8" t="s">
        <v>173</v>
      </c>
      <c r="C13" s="8" t="s">
        <v>174</v>
      </c>
      <c r="D13" s="8" t="s">
        <v>175</v>
      </c>
      <c r="E13" s="8" t="s">
        <v>127</v>
      </c>
      <c r="F13" s="14" t="n">
        <v>46299</v>
      </c>
      <c r="G13" s="8" t="s">
        <v>176</v>
      </c>
      <c r="H13" s="8" t="s">
        <v>177</v>
      </c>
      <c r="I13" s="8" t="s">
        <v>178</v>
      </c>
      <c r="J13" s="8" t="s">
        <v>150</v>
      </c>
      <c r="K13" s="10"/>
      <c r="L13" s="10"/>
      <c r="M13" s="8" t="s">
        <v>179</v>
      </c>
    </row>
    <row r="14" customFormat="false" ht="15" hidden="false" customHeight="false" outlineLevel="0" collapsed="false">
      <c r="A14" s="8" t="n">
        <v>10</v>
      </c>
      <c r="B14" s="8" t="s">
        <v>180</v>
      </c>
      <c r="C14" s="8" t="s">
        <v>181</v>
      </c>
      <c r="D14" s="8" t="s">
        <v>182</v>
      </c>
      <c r="E14" s="8" t="s">
        <v>127</v>
      </c>
      <c r="F14" s="14" t="n">
        <v>46299</v>
      </c>
      <c r="G14" s="8" t="s">
        <v>183</v>
      </c>
      <c r="H14" s="8" t="s">
        <v>177</v>
      </c>
      <c r="I14" s="8" t="s">
        <v>184</v>
      </c>
      <c r="J14" s="8" t="s">
        <v>131</v>
      </c>
      <c r="K14" s="10" t="s">
        <v>131</v>
      </c>
      <c r="L14" s="10"/>
      <c r="M14" s="8" t="s">
        <v>185</v>
      </c>
    </row>
    <row r="15" customFormat="false" ht="26.85" hidden="false" customHeight="false" outlineLevel="0" collapsed="false">
      <c r="A15" s="8" t="n">
        <v>11</v>
      </c>
      <c r="B15" s="8" t="s">
        <v>186</v>
      </c>
      <c r="C15" s="8" t="s">
        <v>187</v>
      </c>
      <c r="D15" s="8" t="s">
        <v>188</v>
      </c>
      <c r="E15" s="8" t="s">
        <v>189</v>
      </c>
      <c r="F15" s="14" t="n">
        <v>46301</v>
      </c>
      <c r="G15" s="8" t="s">
        <v>190</v>
      </c>
      <c r="H15" s="8" t="s">
        <v>191</v>
      </c>
      <c r="I15" s="8" t="s">
        <v>192</v>
      </c>
      <c r="J15" s="8" t="s">
        <v>150</v>
      </c>
      <c r="K15" s="10"/>
      <c r="L15" s="10"/>
      <c r="M15" s="8" t="s">
        <v>193</v>
      </c>
    </row>
    <row r="16" customFormat="false" ht="15" hidden="false" customHeight="false" outlineLevel="0" collapsed="false">
      <c r="A16" s="8" t="n">
        <v>12</v>
      </c>
      <c r="B16" s="8" t="s">
        <v>194</v>
      </c>
      <c r="C16" s="8" t="s">
        <v>195</v>
      </c>
      <c r="D16" s="8" t="s">
        <v>196</v>
      </c>
      <c r="E16" s="8" t="s">
        <v>197</v>
      </c>
      <c r="F16" s="14" t="n">
        <v>46309</v>
      </c>
      <c r="G16" s="8" t="s">
        <v>198</v>
      </c>
      <c r="H16" s="8" t="s">
        <v>199</v>
      </c>
      <c r="I16" s="8" t="s">
        <v>130</v>
      </c>
      <c r="J16" s="8" t="s">
        <v>150</v>
      </c>
      <c r="K16" s="10"/>
      <c r="L16" s="10"/>
      <c r="M16" s="8" t="s">
        <v>200</v>
      </c>
    </row>
    <row r="17" customFormat="false" ht="26.85" hidden="false" customHeight="false" outlineLevel="0" collapsed="false">
      <c r="A17" s="8" t="n">
        <v>13</v>
      </c>
      <c r="B17" s="8" t="s">
        <v>201</v>
      </c>
      <c r="C17" s="8" t="s">
        <v>202</v>
      </c>
      <c r="D17" s="8" t="s">
        <v>203</v>
      </c>
      <c r="E17" s="8" t="s">
        <v>204</v>
      </c>
      <c r="F17" s="14" t="n">
        <v>46304</v>
      </c>
      <c r="G17" s="8" t="s">
        <v>205</v>
      </c>
      <c r="H17" s="8" t="s">
        <v>206</v>
      </c>
      <c r="I17" s="8" t="s">
        <v>207</v>
      </c>
      <c r="J17" s="8" t="s">
        <v>150</v>
      </c>
      <c r="K17" s="10"/>
      <c r="L17" s="10"/>
      <c r="M17" s="8" t="s">
        <v>208</v>
      </c>
    </row>
    <row r="18" customFormat="false" ht="26.85" hidden="false" customHeight="false" outlineLevel="0" collapsed="false">
      <c r="A18" s="8" t="n">
        <v>14</v>
      </c>
      <c r="B18" s="8" t="s">
        <v>209</v>
      </c>
      <c r="C18" s="8" t="s">
        <v>210</v>
      </c>
      <c r="D18" s="8" t="s">
        <v>211</v>
      </c>
      <c r="E18" s="8" t="s">
        <v>204</v>
      </c>
      <c r="F18" s="14" t="n">
        <v>46316</v>
      </c>
      <c r="G18" s="8" t="s">
        <v>212</v>
      </c>
      <c r="H18" s="8" t="s">
        <v>167</v>
      </c>
      <c r="I18" s="8" t="s">
        <v>130</v>
      </c>
      <c r="J18" s="8" t="s">
        <v>213</v>
      </c>
      <c r="K18" s="10"/>
      <c r="L18" s="10"/>
      <c r="M18" s="8" t="s">
        <v>214</v>
      </c>
    </row>
    <row r="19" customFormat="false" ht="15" hidden="false" customHeight="false" outlineLevel="0" collapsed="false">
      <c r="A19" s="8" t="n">
        <v>15</v>
      </c>
      <c r="B19" s="8" t="s">
        <v>215</v>
      </c>
      <c r="C19" s="8" t="s">
        <v>216</v>
      </c>
      <c r="D19" s="8" t="s">
        <v>217</v>
      </c>
      <c r="E19" s="8" t="s">
        <v>218</v>
      </c>
      <c r="F19" s="14" t="n">
        <v>46342</v>
      </c>
      <c r="G19" s="8" t="s">
        <v>219</v>
      </c>
      <c r="H19" s="8" t="s">
        <v>167</v>
      </c>
      <c r="I19" s="8" t="s">
        <v>130</v>
      </c>
      <c r="J19" s="8" t="s">
        <v>150</v>
      </c>
      <c r="K19" s="10"/>
      <c r="L19" s="10"/>
      <c r="M19" s="8" t="s">
        <v>220</v>
      </c>
    </row>
    <row r="20" customFormat="false" ht="15" hidden="false" customHeight="false" outlineLevel="0" collapsed="false">
      <c r="A20" s="8" t="n">
        <v>16</v>
      </c>
      <c r="B20" s="8" t="s">
        <v>221</v>
      </c>
      <c r="C20" s="8" t="s">
        <v>222</v>
      </c>
      <c r="D20" s="8" t="s">
        <v>217</v>
      </c>
      <c r="E20" s="8" t="s">
        <v>218</v>
      </c>
      <c r="F20" s="14" t="n">
        <v>46342</v>
      </c>
      <c r="G20" s="8" t="s">
        <v>223</v>
      </c>
      <c r="H20" s="8" t="s">
        <v>224</v>
      </c>
      <c r="I20" s="8" t="s">
        <v>130</v>
      </c>
      <c r="J20" s="8" t="s">
        <v>150</v>
      </c>
      <c r="K20" s="10"/>
      <c r="L20" s="10"/>
      <c r="M20" s="8" t="s">
        <v>220</v>
      </c>
    </row>
    <row r="21" customFormat="false" ht="26.85" hidden="false" customHeight="false" outlineLevel="0" collapsed="false">
      <c r="A21" s="8" t="n">
        <v>17</v>
      </c>
      <c r="B21" s="8" t="s">
        <v>225</v>
      </c>
      <c r="C21" s="8" t="s">
        <v>226</v>
      </c>
      <c r="D21" s="8" t="s">
        <v>227</v>
      </c>
      <c r="E21" s="8" t="s">
        <v>218</v>
      </c>
      <c r="F21" s="14" t="n">
        <v>46342</v>
      </c>
      <c r="G21" s="8" t="s">
        <v>228</v>
      </c>
      <c r="H21" s="8" t="s">
        <v>229</v>
      </c>
      <c r="I21" s="8" t="s">
        <v>130</v>
      </c>
      <c r="J21" s="8" t="s">
        <v>150</v>
      </c>
      <c r="K21" s="10"/>
      <c r="L21" s="10"/>
      <c r="M21" s="8" t="s">
        <v>220</v>
      </c>
    </row>
    <row r="23" customFormat="false" ht="15" hidden="false" customHeight="false" outlineLevel="0" collapsed="false">
      <c r="A23" s="2" t="s">
        <v>230</v>
      </c>
      <c r="E23" s="2" t="n">
        <f aca="false">COUNTIFS($J$5:$J$21,"No",$K$5:$K$21,"&lt;&gt;Yes")</f>
        <v>11</v>
      </c>
    </row>
    <row r="24" customFormat="false" ht="15" hidden="false" customHeight="false" outlineLevel="0" collapsed="false">
      <c r="A24" s="2" t="s">
        <v>231</v>
      </c>
      <c r="E24" s="2" t="n">
        <f aca="false">COUNTIFS($E$5:$E$21,"1",$J$5:$J$21,"No",$K$5:$K$21,"&lt;&gt;Yes")</f>
        <v>5</v>
      </c>
    </row>
  </sheetData>
  <dataValidations count="1">
    <dataValidation allowBlank="true" errorStyle="stop" operator="between" showDropDown="false" showErrorMessage="false" showInputMessage="false" sqref="K5:K21" type="list">
      <formula1>"Yes,No,Pending,Not needed"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2026-10-02T18:29:55Z</dcterms:created>
  <dc:creator>openpyxl</dc:creator>
  <dc:description/>
  <dc:language>en-US</dc:language>
  <cp:lastModifiedBy/>
  <dcterms:modified xsi:type="dcterms:W3CDTF">2026-10-02T18:29:55Z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